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 CEO Proyectos" sheetId="1" state="visible" r:id="rId1"/>
    <sheet xmlns:r="http://schemas.openxmlformats.org/officeDocument/2006/relationships" name="Carga Asesores" sheetId="2" state="visible" r:id="rId2"/>
    <sheet xmlns:r="http://schemas.openxmlformats.org/officeDocument/2006/relationships" name="Pautas Publicitarias" sheetId="3" state="visible" r:id="rId3"/>
    <sheet xmlns:r="http://schemas.openxmlformats.org/officeDocument/2006/relationships" name="Fuentes y Desarrollos" sheetId="4" state="visible" r:id="rId4"/>
    <sheet xmlns:r="http://schemas.openxmlformats.org/officeDocument/2006/relationships" name="Dashboard CEO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0.0%"/>
    <numFmt numFmtId="165" formatCode="$#,##0;[Red]($#,##0);-"/>
    <numFmt numFmtId="166" formatCode="$#,##0.00;[Red]($#,##0.00);-"/>
  </numFmts>
  <fonts count="7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8"/>
    </font>
    <font>
      <b val="1"/>
    </font>
    <font>
      <color rgb="000000FF"/>
    </font>
    <font>
      <color rgb="00000000"/>
    </font>
    <font>
      <b val="1"/>
      <sz val="14"/>
    </font>
  </fonts>
  <fills count="7">
    <fill>
      <patternFill/>
    </fill>
    <fill>
      <patternFill patternType="gray125"/>
    </fill>
    <fill>
      <patternFill patternType="solid"/>
    </fill>
    <fill>
      <patternFill patternType="solid">
        <fgColor rgb="00111111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FFFFFF"/>
      </patternFill>
    </fill>
  </fills>
  <borders count="4">
    <border>
      <left/>
      <right/>
      <top/>
      <bottom/>
      <diagonal/>
    </border>
    <border>
      <bottom style="medium">
        <color rgb="00111111"/>
      </bottom>
    </border>
    <border>
      <bottom style="thin">
        <color rgb="00D9D9D9"/>
      </bottom>
    </border>
    <border>
      <top style="medium">
        <color rgb="00111111"/>
      </top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2" fillId="3" borderId="0" applyAlignment="1" pivotButton="0" quotePrefix="0" xfId="0">
      <alignment vertical="center" wrapText="1"/>
    </xf>
    <xf numFmtId="0" fontId="4" fillId="5" borderId="2" applyAlignment="1" pivotButton="0" quotePrefix="0" xfId="0">
      <alignment vertical="center" wrapText="1"/>
    </xf>
    <xf numFmtId="0" fontId="5" fillId="6" borderId="2" applyAlignment="1" pivotButton="0" quotePrefix="0" xfId="0">
      <alignment vertical="center" wrapText="1"/>
    </xf>
    <xf numFmtId="165" fontId="4" fillId="5" borderId="2" applyAlignment="1" pivotButton="0" quotePrefix="0" xfId="0">
      <alignment vertical="center" wrapText="1"/>
    </xf>
    <xf numFmtId="165" fontId="5" fillId="6" borderId="2" applyAlignment="1" pivotButton="0" quotePrefix="0" xfId="0">
      <alignment vertical="center" wrapText="1"/>
    </xf>
    <xf numFmtId="164" fontId="5" fillId="6" borderId="2" applyAlignment="1" pivotButton="0" quotePrefix="0" xfId="0">
      <alignment vertical="center" wrapText="1"/>
    </xf>
    <xf numFmtId="0" fontId="3" fillId="4" borderId="2" applyAlignment="1" pivotButton="0" quotePrefix="0" xfId="0">
      <alignment vertical="center" wrapText="1"/>
    </xf>
    <xf numFmtId="165" fontId="3" fillId="4" borderId="2" applyAlignment="1" pivotButton="0" quotePrefix="0" xfId="0">
      <alignment vertical="center" wrapText="1"/>
    </xf>
    <xf numFmtId="164" fontId="3" fillId="4" borderId="2" applyAlignment="1" pivotButton="0" quotePrefix="0" xfId="0">
      <alignment vertical="center" wrapText="1"/>
    </xf>
    <xf numFmtId="166" fontId="4" fillId="5" borderId="2" applyAlignment="1" pivotButton="0" quotePrefix="0" xfId="0">
      <alignment vertical="center" wrapText="1"/>
    </xf>
    <xf numFmtId="166" fontId="5" fillId="6" borderId="2" applyAlignment="1" pivotButton="0" quotePrefix="0" xfId="0">
      <alignment vertical="center" wrapText="1"/>
    </xf>
    <xf numFmtId="166" fontId="3" fillId="4" borderId="2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0" fontId="3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1" fontId="0" fillId="0" borderId="2" applyAlignment="1" pivotButton="0" quotePrefix="0" xfId="0">
      <alignment horizontal="center" vertical="center" wrapText="1"/>
    </xf>
    <xf numFmtId="164" fontId="0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vertical="center" wrapText="1"/>
    </xf>
    <xf numFmtId="1" fontId="1" fillId="3" borderId="2" applyAlignment="1" pivotButton="0" quotePrefix="0" xfId="0">
      <alignment vertical="center" wrapText="1"/>
    </xf>
    <xf numFmtId="164" fontId="1" fillId="3" borderId="2" applyAlignment="1" pivotButton="0" quotePrefix="0" xfId="0">
      <alignment vertical="center" wrapText="1"/>
    </xf>
    <xf numFmtId="1" fontId="5" fillId="6" borderId="2" applyAlignment="1" pivotButton="0" quotePrefix="0" xfId="0">
      <alignment vertical="center" wrapText="1"/>
    </xf>
    <xf numFmtId="0" fontId="2" fillId="3" borderId="2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6" fillId="4" borderId="2" applyAlignment="1" pivotButton="0" quotePrefix="0" xfId="0">
      <alignment vertical="center" wrapText="1"/>
    </xf>
    <xf numFmtId="165" fontId="6" fillId="4" borderId="2" applyAlignment="1" pivotButton="0" quotePrefix="0" xfId="0">
      <alignment vertical="center" wrapText="1"/>
    </xf>
    <xf numFmtId="164" fontId="6" fillId="4" borderId="2" applyAlignment="1" pivotButton="0" quotePrefix="0" xfId="0">
      <alignment vertical="center" wrapText="1"/>
    </xf>
    <xf numFmtId="0" fontId="0" fillId="0" borderId="2" applyAlignment="1" pivotButton="0" quotePrefix="0" xfId="0">
      <alignment vertical="center" wrapText="1"/>
    </xf>
    <xf numFmtId="165" fontId="0" fillId="0" borderId="2" applyAlignment="1" pivotButton="0" quotePrefix="0" xfId="0">
      <alignment vertical="center" wrapText="1"/>
    </xf>
    <xf numFmtId="164" fontId="0" fillId="0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Reuniones por asesor vs objetivo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'Carga Asesores'!E2</f>
            </strRef>
          </tx>
          <spPr>
            <a:ln xmlns:a="http://schemas.openxmlformats.org/drawingml/2006/main">
              <a:prstDash val="solid"/>
            </a:ln>
          </spPr>
          <cat>
            <numRef>
              <f>'Carga Asesores'!$B$3:$B$6</f>
            </numRef>
          </cat>
          <val>
            <numRef>
              <f>'Carga Asesores'!$E$3:$E$6</f>
            </numRef>
          </val>
        </ser>
        <ser>
          <idx val="1"/>
          <order val="1"/>
          <tx>
            <strRef>
              <f>'Carga Asesores'!F2</f>
            </strRef>
          </tx>
          <spPr>
            <a:ln xmlns:a="http://schemas.openxmlformats.org/drawingml/2006/main">
              <a:prstDash val="solid"/>
            </a:ln>
          </spPr>
          <cat>
            <numRef>
              <f>'Carga Asesores'!$B$3:$B$6</f>
            </numRef>
          </cat>
          <val>
            <numRef>
              <f>'Carga Asesores'!$F$3:$F$6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Asesor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Reuniones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Reuniones por pauta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'Pautas Publicitarias'!J2</f>
            </strRef>
          </tx>
          <spPr>
            <a:ln xmlns:a="http://schemas.openxmlformats.org/drawingml/2006/main">
              <a:prstDash val="solid"/>
            </a:ln>
          </spPr>
          <cat>
            <numRef>
              <f>'Pautas Publicitarias'!$B$3:$B$7</f>
            </numRef>
          </cat>
          <val>
            <numRef>
              <f>'Pautas Publicitarias'!$J$3:$J$7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Campaña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Reuniones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22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22</row>
      <rowOff>0</rowOff>
    </from>
    <ext cx="468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aCargaAsesores" displayName="TablaCargaAsesores" ref="A2:T7" headerRowCount="1">
  <autoFilter ref="A2:T7"/>
  <tableColumns count="20">
    <tableColumn id="1" name="None"/>
    <tableColumn id="2" name="None"/>
    <tableColumn id="3" name="None"/>
    <tableColumn id="4" name="None"/>
    <tableColumn id="5" name="None"/>
    <tableColumn id="6" name="None"/>
    <tableColumn id="7" name="None"/>
    <tableColumn id="8" name="None"/>
    <tableColumn id="9" name="None"/>
    <tableColumn id="10" name="None"/>
    <tableColumn id="11" name="None"/>
    <tableColumn id="12" name="None"/>
    <tableColumn id="13" name="None"/>
    <tableColumn id="14" name="None"/>
    <tableColumn id="15" name="None"/>
    <tableColumn id="16" name="None"/>
    <tableColumn id="17" name="None"/>
    <tableColumn id="18" name="None"/>
    <tableColumn id="19" name="None"/>
    <tableColumn id="20" name="None"/>
  </tableColumns>
  <tableStyleInfo name="TableStyleMedium2" showRowStripes="1"/>
</table>
</file>

<file path=xl/tables/table2.xml><?xml version="1.0" encoding="utf-8"?>
<table xmlns="http://schemas.openxmlformats.org/spreadsheetml/2006/main" id="2" name="TablaPautas" displayName="TablaPautas" ref="A2:Q8" headerRowCount="1">
  <autoFilter ref="A2:Q8"/>
  <tableColumns count="17">
    <tableColumn id="1" name="None"/>
    <tableColumn id="2" name="None"/>
    <tableColumn id="3" name="None"/>
    <tableColumn id="4" name="None"/>
    <tableColumn id="5" name="None"/>
    <tableColumn id="6" name="None"/>
    <tableColumn id="7" name="None"/>
    <tableColumn id="8" name="None"/>
    <tableColumn id="9" name="None"/>
    <tableColumn id="10" name="None"/>
    <tableColumn id="11" name="None"/>
    <tableColumn id="12" name="None"/>
    <tableColumn id="13" name="None"/>
    <tableColumn id="14" name="None"/>
    <tableColumn id="15" name="None"/>
    <tableColumn id="16" name="None"/>
    <tableColumn id="17" name="None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60" customWidth="1" min="3" max="3"/>
  </cols>
  <sheetData>
    <row r="1">
      <c r="A1" s="2" t="inlineStr">
        <is>
          <t>Nº</t>
        </is>
      </c>
      <c r="B1" s="2" t="inlineStr">
        <is>
          <t>Área</t>
        </is>
      </c>
      <c r="C1" s="2" t="inlineStr">
        <is>
          <t>KPI Mensual</t>
        </is>
      </c>
    </row>
    <row r="2">
      <c r="A2" s="3" t="n">
        <v>1</v>
      </c>
      <c r="B2" s="3" t="inlineStr">
        <is>
          <t>Leads</t>
        </is>
      </c>
      <c r="C2" s="3" t="inlineStr">
        <is>
          <t>Leads Totales Ingresados</t>
        </is>
      </c>
    </row>
    <row r="3">
      <c r="A3" s="3" t="n">
        <v>2</v>
      </c>
      <c r="B3" s="3" t="inlineStr">
        <is>
          <t>Leads</t>
        </is>
      </c>
      <c r="C3" s="3" t="inlineStr">
        <is>
          <t>Ranking de Fuentes de Leads</t>
        </is>
      </c>
    </row>
    <row r="4">
      <c r="A4" s="3" t="n">
        <v>3</v>
      </c>
      <c r="B4" s="3" t="inlineStr">
        <is>
          <t>Leads</t>
        </is>
      </c>
      <c r="C4" s="3" t="inlineStr">
        <is>
          <t>Costo por Lead (CPL)</t>
        </is>
      </c>
    </row>
    <row r="5">
      <c r="A5" s="3" t="n">
        <v>4</v>
      </c>
      <c r="B5" s="3" t="inlineStr">
        <is>
          <t>Leads</t>
        </is>
      </c>
      <c r="C5" s="3" t="inlineStr">
        <is>
          <t>Leads Calificados</t>
        </is>
      </c>
    </row>
    <row r="6">
      <c r="A6" s="3" t="n">
        <v>5</v>
      </c>
      <c r="B6" s="3" t="inlineStr">
        <is>
          <t>Leads</t>
        </is>
      </c>
      <c r="C6" s="3" t="inlineStr">
        <is>
          <t>Cantidad de Leads que Respondieron</t>
        </is>
      </c>
    </row>
    <row r="7">
      <c r="A7" s="3" t="n">
        <v>6</v>
      </c>
      <c r="B7" s="3" t="inlineStr">
        <is>
          <t>Leads</t>
        </is>
      </c>
      <c r="C7" s="3" t="inlineStr">
        <is>
          <t>Leads Perdidos</t>
        </is>
      </c>
    </row>
    <row r="8">
      <c r="A8" s="3" t="n">
        <v>7</v>
      </c>
      <c r="B8" s="3" t="inlineStr">
        <is>
          <t>Marketing</t>
        </is>
      </c>
      <c r="C8" s="3" t="inlineStr">
        <is>
          <t>Inversión Publicitaria Total Mensual</t>
        </is>
      </c>
    </row>
    <row r="9">
      <c r="A9" s="3" t="n">
        <v>8</v>
      </c>
      <c r="B9" s="3" t="inlineStr">
        <is>
          <t>Comercial</t>
        </is>
      </c>
      <c r="C9" s="3" t="inlineStr">
        <is>
          <t>Reuniones Generadas Totales del Equipo</t>
        </is>
      </c>
    </row>
    <row r="10">
      <c r="A10" s="3" t="n">
        <v>9</v>
      </c>
      <c r="B10" s="3" t="inlineStr">
        <is>
          <t>Comercial</t>
        </is>
      </c>
      <c r="C10" s="3" t="inlineStr">
        <is>
          <t>Reuniones Generadas por Asesor</t>
        </is>
      </c>
    </row>
    <row r="11">
      <c r="A11" s="3" t="n">
        <v>10</v>
      </c>
      <c r="B11" s="3" t="inlineStr">
        <is>
          <t>Comercial</t>
        </is>
      </c>
      <c r="C11" s="3" t="inlineStr">
        <is>
          <t>Visitas Realizadas Totales del Equipo</t>
        </is>
      </c>
    </row>
    <row r="12">
      <c r="A12" s="3" t="n">
        <v>11</v>
      </c>
      <c r="B12" s="3" t="inlineStr">
        <is>
          <t>Comercial</t>
        </is>
      </c>
      <c r="C12" s="3" t="inlineStr">
        <is>
          <t>Visitas Realizadas por Asesor</t>
        </is>
      </c>
    </row>
    <row r="13">
      <c r="A13" s="3" t="n">
        <v>12</v>
      </c>
      <c r="B13" s="3" t="inlineStr">
        <is>
          <t>Comercial</t>
        </is>
      </c>
      <c r="C13" s="3" t="inlineStr">
        <is>
          <t>Negociaciones Abiertas Totales del Equipo</t>
        </is>
      </c>
    </row>
    <row r="14">
      <c r="A14" s="3" t="n">
        <v>13</v>
      </c>
      <c r="B14" s="3" t="inlineStr">
        <is>
          <t>Comercial</t>
        </is>
      </c>
      <c r="C14" s="3" t="inlineStr">
        <is>
          <t>Negociaciones Abiertas por Asesor</t>
        </is>
      </c>
    </row>
    <row r="15">
      <c r="A15" s="3" t="n">
        <v>14</v>
      </c>
      <c r="B15" s="3" t="inlineStr">
        <is>
          <t>Comercial</t>
        </is>
      </c>
      <c r="C15" s="3" t="inlineStr">
        <is>
          <t>Cierres Realizados Totales del Equipo</t>
        </is>
      </c>
    </row>
    <row r="16">
      <c r="A16" s="3" t="n">
        <v>15</v>
      </c>
      <c r="B16" s="3" t="inlineStr">
        <is>
          <t>Comercial</t>
        </is>
      </c>
      <c r="C16" s="3" t="inlineStr">
        <is>
          <t>Cierres Realizados por Asesor</t>
        </is>
      </c>
    </row>
    <row r="17">
      <c r="A17" s="3" t="n">
        <v>16</v>
      </c>
      <c r="B17" s="3" t="inlineStr">
        <is>
          <t>Comercial</t>
        </is>
      </c>
      <c r="C17" s="3" t="inlineStr">
        <is>
          <t>Conversión General del Equipo</t>
        </is>
      </c>
    </row>
    <row r="18">
      <c r="A18" s="3" t="n">
        <v>17</v>
      </c>
      <c r="B18" s="3" t="inlineStr">
        <is>
          <t>Comercial</t>
        </is>
      </c>
      <c r="C18" s="3" t="inlineStr">
        <is>
          <t>Conversión Individual por Asesor</t>
        </is>
      </c>
    </row>
    <row r="19">
      <c r="A19" s="3" t="n">
        <v>18</v>
      </c>
      <c r="B19" s="3" t="inlineStr">
        <is>
          <t>Comercial</t>
        </is>
      </c>
      <c r="C19" s="3" t="inlineStr">
        <is>
          <t>Conversión Lead → Visita del Equipo</t>
        </is>
      </c>
    </row>
    <row r="20">
      <c r="A20" s="3" t="n">
        <v>19</v>
      </c>
      <c r="B20" s="3" t="inlineStr">
        <is>
          <t>Comercial</t>
        </is>
      </c>
      <c r="C20" s="3" t="inlineStr">
        <is>
          <t>Conversión Lead → Visita por Asesor</t>
        </is>
      </c>
    </row>
    <row r="21">
      <c r="A21" s="3" t="n">
        <v>20</v>
      </c>
      <c r="B21" s="3" t="inlineStr">
        <is>
          <t>Comercial</t>
        </is>
      </c>
      <c r="C21" s="3" t="inlineStr">
        <is>
          <t>Conversión Visita → Cierre del Equipo</t>
        </is>
      </c>
    </row>
    <row r="22">
      <c r="A22" s="3" t="n">
        <v>21</v>
      </c>
      <c r="B22" s="3" t="inlineStr">
        <is>
          <t>Comercial</t>
        </is>
      </c>
      <c r="C22" s="3" t="inlineStr">
        <is>
          <t>Conversión Visita → Cierre por Asesor</t>
        </is>
      </c>
    </row>
    <row r="23">
      <c r="A23" s="3" t="n">
        <v>22</v>
      </c>
      <c r="B23" s="3" t="inlineStr">
        <is>
          <t>Equipo</t>
        </is>
      </c>
      <c r="C23" s="3" t="inlineStr">
        <is>
          <t>Leads Asignados Totales</t>
        </is>
      </c>
    </row>
    <row r="24">
      <c r="A24" s="3" t="n">
        <v>23</v>
      </c>
      <c r="B24" s="3" t="inlineStr">
        <is>
          <t>Equipo</t>
        </is>
      </c>
      <c r="C24" s="3" t="inlineStr">
        <is>
          <t>Leads por Asesor</t>
        </is>
      </c>
    </row>
    <row r="25">
      <c r="A25" s="3" t="n">
        <v>24</v>
      </c>
      <c r="B25" s="3" t="inlineStr">
        <is>
          <t>Equipo</t>
        </is>
      </c>
      <c r="C25" s="3" t="inlineStr">
        <is>
          <t>Ranking General de Asesores</t>
        </is>
      </c>
    </row>
    <row r="26">
      <c r="A26" s="3" t="n">
        <v>25</v>
      </c>
      <c r="B26" s="3" t="inlineStr">
        <is>
          <t>Equipo</t>
        </is>
      </c>
      <c r="C26" s="3" t="inlineStr">
        <is>
          <t>Facturación Total del Equipo</t>
        </is>
      </c>
    </row>
    <row r="27">
      <c r="A27" s="3" t="n">
        <v>26</v>
      </c>
      <c r="B27" s="3" t="inlineStr">
        <is>
          <t>Equipo</t>
        </is>
      </c>
      <c r="C27" s="3" t="inlineStr">
        <is>
          <t>Facturación por Asesor</t>
        </is>
      </c>
    </row>
    <row r="28">
      <c r="A28" s="3" t="n">
        <v>27</v>
      </c>
      <c r="B28" s="3" t="inlineStr">
        <is>
          <t>Equipo</t>
        </is>
      </c>
      <c r="C28" s="3" t="inlineStr">
        <is>
          <t>Seguimientos Totales del Equipo</t>
        </is>
      </c>
    </row>
    <row r="29">
      <c r="A29" s="3" t="n">
        <v>28</v>
      </c>
      <c r="B29" s="3" t="inlineStr">
        <is>
          <t>Equipo</t>
        </is>
      </c>
      <c r="C29" s="3" t="inlineStr">
        <is>
          <t>Seguimientos Realizados por Asesor</t>
        </is>
      </c>
    </row>
    <row r="30">
      <c r="A30" s="3" t="n">
        <v>29</v>
      </c>
      <c r="B30" s="3" t="inlineStr">
        <is>
          <t>Equipo</t>
        </is>
      </c>
      <c r="C30" s="3" t="inlineStr">
        <is>
          <t>Seguimientos Recuperados Totales</t>
        </is>
      </c>
    </row>
    <row r="31">
      <c r="A31" s="3" t="n">
        <v>30</v>
      </c>
      <c r="B31" s="3" t="inlineStr">
        <is>
          <t>Equipo</t>
        </is>
      </c>
      <c r="C31" s="3" t="inlineStr">
        <is>
          <t>Seguimientos Recuperados por Asesor</t>
        </is>
      </c>
    </row>
    <row r="32">
      <c r="A32" s="3" t="n">
        <v>31</v>
      </c>
      <c r="B32" s="3" t="inlineStr">
        <is>
          <t>Producto</t>
        </is>
      </c>
      <c r="C32" s="3" t="inlineStr">
        <is>
          <t>Ranking de Desarrollos Más Demandados</t>
        </is>
      </c>
    </row>
    <row r="33">
      <c r="A33" s="3" t="n">
        <v>32</v>
      </c>
      <c r="B33" s="3" t="inlineStr">
        <is>
          <t>Producto</t>
        </is>
      </c>
      <c r="C33" s="3" t="inlineStr">
        <is>
          <t>Ranking de Desarrollos Menos Demandados</t>
        </is>
      </c>
    </row>
    <row r="34">
      <c r="A34" s="3" t="n">
        <v>33</v>
      </c>
      <c r="B34" s="3" t="inlineStr">
        <is>
          <t>Producto</t>
        </is>
      </c>
      <c r="C34" s="3" t="inlineStr">
        <is>
          <t>Valor Promedio m² Vendido</t>
        </is>
      </c>
    </row>
    <row r="35">
      <c r="A35" s="3" t="n">
        <v>34</v>
      </c>
      <c r="B35" s="3" t="inlineStr">
        <is>
          <t>Producto</t>
        </is>
      </c>
      <c r="C35" s="3" t="inlineStr">
        <is>
          <t>Ticket Promedio</t>
        </is>
      </c>
    </row>
    <row r="36">
      <c r="A36" s="3" t="n">
        <v>35</v>
      </c>
      <c r="B36" s="3" t="inlineStr">
        <is>
          <t>Producto</t>
        </is>
      </c>
      <c r="C36" s="3" t="inlineStr">
        <is>
          <t>Velocidad de Absorción</t>
        </is>
      </c>
    </row>
    <row r="37">
      <c r="A37" s="3" t="n">
        <v>36</v>
      </c>
      <c r="B37" s="3" t="inlineStr">
        <is>
          <t>Producto</t>
        </is>
      </c>
      <c r="C37" s="3" t="inlineStr">
        <is>
          <t>Tiempo Promedio de Cierre</t>
        </is>
      </c>
    </row>
    <row r="38">
      <c r="A38" s="3" t="n">
        <v>37</v>
      </c>
      <c r="B38" s="3" t="inlineStr">
        <is>
          <t>Producto</t>
        </is>
      </c>
      <c r="C38" s="3" t="inlineStr">
        <is>
          <t>Ranking de Leads por Desarrollo</t>
        </is>
      </c>
    </row>
    <row r="39">
      <c r="A39" s="3" t="n">
        <v>38</v>
      </c>
      <c r="B39" s="3" t="inlineStr">
        <is>
          <t>Marketing</t>
        </is>
      </c>
      <c r="C39" s="3" t="inlineStr">
        <is>
          <t>CTR</t>
        </is>
      </c>
    </row>
    <row r="40">
      <c r="A40" s="3" t="n">
        <v>39</v>
      </c>
      <c r="B40" s="3" t="inlineStr">
        <is>
          <t>Marketing</t>
        </is>
      </c>
      <c r="C40" s="3" t="inlineStr">
        <is>
          <t>CPC</t>
        </is>
      </c>
    </row>
    <row r="41">
      <c r="A41" s="3" t="n">
        <v>40</v>
      </c>
      <c r="B41" s="3" t="inlineStr">
        <is>
          <t>Marketing</t>
        </is>
      </c>
      <c r="C41" s="3" t="inlineStr">
        <is>
          <t>ROI de Marketing</t>
        </is>
      </c>
    </row>
    <row r="42">
      <c r="A42" s="3" t="n">
        <v>41</v>
      </c>
      <c r="B42" s="3" t="inlineStr">
        <is>
          <t>Marketing</t>
        </is>
      </c>
      <c r="C42" s="3" t="inlineStr">
        <is>
          <t>Conversión por Fuente</t>
        </is>
      </c>
    </row>
    <row r="43">
      <c r="A43" s="3" t="n">
        <v>42</v>
      </c>
      <c r="B43" s="3" t="inlineStr">
        <is>
          <t>Marketing</t>
        </is>
      </c>
      <c r="C43" s="3" t="inlineStr">
        <is>
          <t>Ranking de Pautas por Formato</t>
        </is>
      </c>
    </row>
    <row r="44">
      <c r="A44" s="3" t="n">
        <v>43</v>
      </c>
      <c r="B44" s="3" t="inlineStr">
        <is>
          <t>Financiero</t>
        </is>
      </c>
      <c r="C44" s="3" t="inlineStr">
        <is>
          <t>Facturación Mensual Total</t>
        </is>
      </c>
    </row>
    <row r="45">
      <c r="A45" s="3" t="n">
        <v>44</v>
      </c>
      <c r="B45" s="3" t="inlineStr">
        <is>
          <t>Financiero</t>
        </is>
      </c>
      <c r="C45" s="3" t="inlineStr">
        <is>
          <t>Comisión Total Generada</t>
        </is>
      </c>
    </row>
    <row r="46">
      <c r="A46" s="3" t="n">
        <v>45</v>
      </c>
      <c r="B46" s="3" t="inlineStr">
        <is>
          <t>Financiero</t>
        </is>
      </c>
      <c r="C46" s="3" t="inlineStr">
        <is>
          <t>CAC</t>
        </is>
      </c>
    </row>
    <row r="47">
      <c r="A47" s="3" t="n">
        <v>46</v>
      </c>
      <c r="B47" s="3" t="inlineStr">
        <is>
          <t>Financiero</t>
        </is>
      </c>
      <c r="C47" s="3" t="inlineStr">
        <is>
          <t>Facturación Proyectada</t>
        </is>
      </c>
    </row>
    <row r="48">
      <c r="A48" s="3" t="n">
        <v>47</v>
      </c>
      <c r="B48" s="3" t="inlineStr">
        <is>
          <t>CEO</t>
        </is>
      </c>
      <c r="C48" s="3" t="inlineStr">
        <is>
          <t>Objetivo Mensual Total del Equipo</t>
        </is>
      </c>
    </row>
    <row r="49">
      <c r="A49" s="3" t="n">
        <v>48</v>
      </c>
      <c r="B49" s="3" t="inlineStr">
        <is>
          <t>CEO</t>
        </is>
      </c>
      <c r="C49" s="3" t="inlineStr">
        <is>
          <t>Objetivo Mensual por Asesor</t>
        </is>
      </c>
    </row>
    <row r="50">
      <c r="A50" s="3" t="n">
        <v>49</v>
      </c>
      <c r="B50" s="3" t="inlineStr">
        <is>
          <t>CEO</t>
        </is>
      </c>
      <c r="C50" s="3" t="inlineStr">
        <is>
          <t>Diferencia entre Objetivo y Resultado del Equipo</t>
        </is>
      </c>
    </row>
    <row r="51">
      <c r="A51" s="3" t="n">
        <v>50</v>
      </c>
      <c r="B51" s="3" t="inlineStr">
        <is>
          <t>CEO</t>
        </is>
      </c>
      <c r="C51" s="3" t="inlineStr">
        <is>
          <t>Diferencia entre Objetivo y Resultado por Asesor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5" customWidth="1" min="4" max="4"/>
    <col width="14" customWidth="1" min="5" max="5"/>
    <col width="18" customWidth="1" min="6" max="6"/>
    <col width="16" customWidth="1" min="7" max="7"/>
    <col width="12" customWidth="1" min="8" max="8"/>
    <col width="16" customWidth="1" min="9" max="9"/>
    <col width="12" customWidth="1" min="10" max="10"/>
    <col width="16" customWidth="1" min="11" max="11"/>
    <col width="14" customWidth="1" min="12" max="12"/>
    <col width="18" customWidth="1" min="13" max="13"/>
    <col width="16" customWidth="1" min="14" max="14"/>
    <col width="14" customWidth="1" min="15" max="15"/>
    <col width="14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 ht="34" customHeight="1">
      <c r="A1" s="4" t="inlineStr">
        <is>
          <t>Carga mensual por asesor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</row>
    <row r="3">
      <c r="A3" s="5" t="inlineStr">
        <is>
          <t>Mes</t>
        </is>
      </c>
      <c r="B3" s="5" t="inlineStr">
        <is>
          <t>Asesor</t>
        </is>
      </c>
      <c r="C3" s="5" t="inlineStr">
        <is>
          <t>Leads</t>
        </is>
      </c>
      <c r="D3" s="5" t="inlineStr">
        <is>
          <t>Respondieron</t>
        </is>
      </c>
      <c r="E3" s="5" t="inlineStr">
        <is>
          <t>Reuniones</t>
        </is>
      </c>
      <c r="F3" s="5" t="inlineStr">
        <is>
          <t>Objetivo Reuniones</t>
        </is>
      </c>
      <c r="G3" s="6" t="inlineStr">
        <is>
          <t>Dif. Reuniones</t>
        </is>
      </c>
      <c r="H3" s="5" t="inlineStr">
        <is>
          <t>Visitas</t>
        </is>
      </c>
      <c r="I3" s="5" t="inlineStr">
        <is>
          <t>Negociaciones</t>
        </is>
      </c>
      <c r="J3" s="5" t="inlineStr">
        <is>
          <t>Cierres</t>
        </is>
      </c>
      <c r="K3" s="5" t="inlineStr">
        <is>
          <t>Seguimientos</t>
        </is>
      </c>
      <c r="L3" s="5" t="inlineStr">
        <is>
          <t>Recuperados</t>
        </is>
      </c>
      <c r="M3" s="7" t="inlineStr">
        <is>
          <t>Facturación USD</t>
        </is>
      </c>
      <c r="N3" s="7" t="inlineStr">
        <is>
          <t>Objetivo USD</t>
        </is>
      </c>
      <c r="O3" s="8" t="inlineStr">
        <is>
          <t>Dif. USD</t>
        </is>
      </c>
      <c r="P3" s="9" t="inlineStr">
        <is>
          <t>% Obj. USD</t>
        </is>
      </c>
      <c r="Q3" s="9" t="inlineStr">
        <is>
          <t>Conv. Lead-Reunión</t>
        </is>
      </c>
      <c r="R3" s="9" t="inlineStr">
        <is>
          <t>Conv. Reunión-Visita</t>
        </is>
      </c>
      <c r="S3" s="9" t="inlineStr">
        <is>
          <t>Conv. Visita-Cierre</t>
        </is>
      </c>
      <c r="T3" s="9" t="inlineStr">
        <is>
          <t>Conv. Lead-Cierre</t>
        </is>
      </c>
    </row>
    <row r="4">
      <c r="A4" s="5" t="inlineStr">
        <is>
          <t>Mayo 2026</t>
        </is>
      </c>
      <c r="B4" s="5" t="inlineStr">
        <is>
          <t>Julita</t>
        </is>
      </c>
      <c r="C4" s="5" t="n">
        <v>0</v>
      </c>
      <c r="D4" s="5" t="n">
        <v>0</v>
      </c>
      <c r="E4" s="5" t="n">
        <v>0</v>
      </c>
      <c r="F4" s="5" t="n">
        <v>0</v>
      </c>
      <c r="G4" s="6">
        <f>E3-F3</f>
        <v/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7" t="n">
        <v>0</v>
      </c>
      <c r="N4" s="7" t="n">
        <v>0</v>
      </c>
      <c r="O4" s="8">
        <f>M3-N3</f>
        <v/>
      </c>
      <c r="P4" s="9">
        <f>IF(N3=0,0,M3/N3)</f>
        <v/>
      </c>
      <c r="Q4" s="9">
        <f>IF(C3=0,0,E3/C3)</f>
        <v/>
      </c>
      <c r="R4" s="9">
        <f>IF(E3=0,0,H3/E3)</f>
        <v/>
      </c>
      <c r="S4" s="9">
        <f>IF(H3=0,0,J3/H3)</f>
        <v/>
      </c>
      <c r="T4" s="9">
        <f>IF(C3=0,0,J3/C3)</f>
        <v/>
      </c>
    </row>
    <row r="5">
      <c r="A5" s="5" t="inlineStr">
        <is>
          <t>Mayo 2026</t>
        </is>
      </c>
      <c r="B5" s="5" t="inlineStr">
        <is>
          <t>Cecilia</t>
        </is>
      </c>
      <c r="C5" s="5" t="n">
        <v>0</v>
      </c>
      <c r="D5" s="5" t="n">
        <v>0</v>
      </c>
      <c r="E5" s="5" t="n">
        <v>0</v>
      </c>
      <c r="F5" s="5" t="n">
        <v>0</v>
      </c>
      <c r="G5" s="6">
        <f>E4-F4</f>
        <v/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7" t="n">
        <v>0</v>
      </c>
      <c r="N5" s="7" t="n">
        <v>0</v>
      </c>
      <c r="O5" s="8">
        <f>M4-N4</f>
        <v/>
      </c>
      <c r="P5" s="9">
        <f>IF(N4=0,0,M4/N4)</f>
        <v/>
      </c>
      <c r="Q5" s="9">
        <f>IF(C4=0,0,E4/C4)</f>
        <v/>
      </c>
      <c r="R5" s="9">
        <f>IF(E4=0,0,H4/E4)</f>
        <v/>
      </c>
      <c r="S5" s="9">
        <f>IF(H4=0,0,J4/H4)</f>
        <v/>
      </c>
      <c r="T5" s="9">
        <f>IF(C4=0,0,J4/C4)</f>
        <v/>
      </c>
    </row>
    <row r="6">
      <c r="A6" s="5" t="inlineStr">
        <is>
          <t>Mayo 2026</t>
        </is>
      </c>
      <c r="B6" s="5" t="inlineStr">
        <is>
          <t>Carina</t>
        </is>
      </c>
      <c r="C6" s="5" t="n">
        <v>0</v>
      </c>
      <c r="D6" s="5" t="n">
        <v>0</v>
      </c>
      <c r="E6" s="5" t="n">
        <v>0</v>
      </c>
      <c r="F6" s="5" t="n">
        <v>0</v>
      </c>
      <c r="G6" s="6">
        <f>E5-F5</f>
        <v/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7" t="n">
        <v>0</v>
      </c>
      <c r="N6" s="7" t="n">
        <v>0</v>
      </c>
      <c r="O6" s="8">
        <f>M5-N5</f>
        <v/>
      </c>
      <c r="P6" s="9">
        <f>IF(N5=0,0,M5/N5)</f>
        <v/>
      </c>
      <c r="Q6" s="9">
        <f>IF(C5=0,0,E5/C5)</f>
        <v/>
      </c>
      <c r="R6" s="9">
        <f>IF(E5=0,0,H5/E5)</f>
        <v/>
      </c>
      <c r="S6" s="9">
        <f>IF(H5=0,0,J5/H5)</f>
        <v/>
      </c>
      <c r="T6" s="9">
        <f>IF(C5=0,0,J5/C5)</f>
        <v/>
      </c>
    </row>
    <row r="7">
      <c r="A7" s="10" t="inlineStr">
        <is>
          <t>TOTAL EQUIPO</t>
        </is>
      </c>
      <c r="B7" s="10" t="inlineStr">
        <is>
          <t>Equipo completo</t>
        </is>
      </c>
      <c r="C7" s="10">
        <f>SUM(C3:C6)</f>
        <v/>
      </c>
      <c r="D7" s="10">
        <f>SUM(D3:D6)</f>
        <v/>
      </c>
      <c r="E7" s="10">
        <f>SUM(E3:E6)</f>
        <v/>
      </c>
      <c r="F7" s="10">
        <f>SUM(F3:F6)</f>
        <v/>
      </c>
      <c r="G7" s="10">
        <f>E7-F7</f>
        <v/>
      </c>
      <c r="H7" s="10">
        <f>SUM(H3:H6)</f>
        <v/>
      </c>
      <c r="I7" s="10">
        <f>SUM(I3:I6)</f>
        <v/>
      </c>
      <c r="J7" s="10">
        <f>SUM(J3:J6)</f>
        <v/>
      </c>
      <c r="K7" s="10">
        <f>SUM(K3:K6)</f>
        <v/>
      </c>
      <c r="L7" s="10">
        <f>SUM(L3:L6)</f>
        <v/>
      </c>
      <c r="M7" s="11">
        <f>SUM(M3:M6)</f>
        <v/>
      </c>
      <c r="N7" s="11">
        <f>SUM(N3:N6)</f>
        <v/>
      </c>
      <c r="O7" s="11">
        <f>M7-N7</f>
        <v/>
      </c>
      <c r="P7" s="12">
        <f>IF(N7=0,0,M7/N7)</f>
        <v/>
      </c>
      <c r="Q7" s="12">
        <f>IF(C7=0,0,E7/C7)</f>
        <v/>
      </c>
      <c r="R7" s="12">
        <f>IF(E7=0,0,H7/E7)</f>
        <v/>
      </c>
      <c r="S7" s="12">
        <f>IF(H7=0,0,J7/H7)</f>
        <v/>
      </c>
      <c r="T7" s="12">
        <f>IF(C7=0,0,J7/C7)</f>
        <v/>
      </c>
    </row>
  </sheetData>
  <mergeCells count="1">
    <mergeCell ref="A1:P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8" customWidth="1" min="3" max="3"/>
    <col width="16" customWidth="1" min="4" max="4"/>
    <col width="16" customWidth="1" min="5" max="5"/>
    <col width="16" customWidth="1" min="6" max="6"/>
    <col width="12" customWidth="1" min="7" max="7"/>
    <col width="12" customWidth="1" min="8" max="8"/>
    <col width="18" customWidth="1" min="9" max="9"/>
    <col width="14" customWidth="1" min="10" max="10"/>
    <col width="12" customWidth="1" min="11" max="11"/>
    <col width="14" customWidth="1" min="12" max="12"/>
    <col width="14" customWidth="1" min="13" max="13"/>
    <col width="18" customWidth="1" min="14" max="14"/>
    <col width="18" customWidth="1" min="15" max="15"/>
    <col width="18" customWidth="1" min="16" max="16"/>
    <col width="14" customWidth="1" min="17" max="17"/>
  </cols>
  <sheetData>
    <row r="1" ht="34" customHeight="1">
      <c r="A1" s="4" t="inlineStr">
        <is>
          <t>Carga y ranking de pautas publicitarias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>
      <c r="A3" s="5" t="inlineStr">
        <is>
          <t>Mes</t>
        </is>
      </c>
      <c r="B3" s="5" t="inlineStr">
        <is>
          <t>Campaña</t>
        </is>
      </c>
      <c r="C3" s="5" t="inlineStr">
        <is>
          <t>Proyecto</t>
        </is>
      </c>
      <c r="D3" s="5" t="inlineStr">
        <is>
          <t>Formato</t>
        </is>
      </c>
      <c r="E3" s="13" t="inlineStr">
        <is>
          <t>Inversión USD</t>
        </is>
      </c>
      <c r="F3" s="5" t="inlineStr">
        <is>
          <t>Impresiones</t>
        </is>
      </c>
      <c r="G3" s="5" t="inlineStr">
        <is>
          <t>Clics</t>
        </is>
      </c>
      <c r="H3" s="5" t="inlineStr">
        <is>
          <t>Leads</t>
        </is>
      </c>
      <c r="I3" s="5" t="inlineStr">
        <is>
          <t>Leads Respondidos</t>
        </is>
      </c>
      <c r="J3" s="5" t="inlineStr">
        <is>
          <t>Reuniones</t>
        </is>
      </c>
      <c r="K3" s="9" t="inlineStr">
        <is>
          <t>CTR</t>
        </is>
      </c>
      <c r="L3" s="14" t="inlineStr">
        <is>
          <t>CPC USD</t>
        </is>
      </c>
      <c r="M3" s="14" t="inlineStr">
        <is>
          <t>CPL USD</t>
        </is>
      </c>
      <c r="N3" s="14" t="inlineStr">
        <is>
          <t>Costo por Reunión</t>
        </is>
      </c>
      <c r="O3" s="9" t="inlineStr">
        <is>
          <t>Conv. Lead-Reunión</t>
        </is>
      </c>
      <c r="P3" s="6" t="inlineStr">
        <is>
          <t>Ranking Reuniones</t>
        </is>
      </c>
      <c r="Q3" s="6" t="inlineStr">
        <is>
          <t>Ranking CPL</t>
        </is>
      </c>
    </row>
    <row r="4">
      <c r="A4" s="5" t="inlineStr">
        <is>
          <t>Mayo 2026</t>
        </is>
      </c>
      <c r="B4" s="5" t="inlineStr">
        <is>
          <t>Video recorrido</t>
        </is>
      </c>
      <c r="C4" s="5" t="inlineStr">
        <is>
          <t>Proyecto A</t>
        </is>
      </c>
      <c r="D4" s="5" t="inlineStr">
        <is>
          <t>Reel</t>
        </is>
      </c>
      <c r="E4" s="13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9">
        <f>IF(F3=0,0,G3/F3)</f>
        <v/>
      </c>
      <c r="L4" s="14">
        <f>IF(G3=0,0,E3/G3)</f>
        <v/>
      </c>
      <c r="M4" s="14">
        <f>IF(H3=0,0,E3/H3)</f>
        <v/>
      </c>
      <c r="N4" s="14">
        <f>IF(J3=0,0,E3/J3)</f>
        <v/>
      </c>
      <c r="O4" s="9">
        <f>IF(H3=0,0,J3/H3)</f>
        <v/>
      </c>
      <c r="P4" s="6">
        <f>RANK(J3,$J$3:$J$7,0)</f>
        <v/>
      </c>
      <c r="Q4" s="6">
        <f>RANK(M3,$M$3:$M$7,1)</f>
        <v/>
      </c>
    </row>
    <row r="5">
      <c r="A5" s="5" t="inlineStr">
        <is>
          <t>Mayo 2026</t>
        </is>
      </c>
      <c r="B5" s="5" t="inlineStr">
        <is>
          <t>Amenities + financiación</t>
        </is>
      </c>
      <c r="C5" s="5" t="inlineStr">
        <is>
          <t>Proyecto A</t>
        </is>
      </c>
      <c r="D5" s="5" t="inlineStr">
        <is>
          <t>Carrusel</t>
        </is>
      </c>
      <c r="E5" s="13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9">
        <f>IF(F4=0,0,G4/F4)</f>
        <v/>
      </c>
      <c r="L5" s="14">
        <f>IF(G4=0,0,E4/G4)</f>
        <v/>
      </c>
      <c r="M5" s="14">
        <f>IF(H4=0,0,E4/H4)</f>
        <v/>
      </c>
      <c r="N5" s="14">
        <f>IF(J4=0,0,E4/J4)</f>
        <v/>
      </c>
      <c r="O5" s="9">
        <f>IF(H4=0,0,J4/H4)</f>
        <v/>
      </c>
      <c r="P5" s="6">
        <f>RANK(J4,$J$3:$J$7,0)</f>
        <v/>
      </c>
      <c r="Q5" s="6">
        <f>RANK(M4,$M$3:$M$7,1)</f>
        <v/>
      </c>
    </row>
    <row r="6">
      <c r="A6" s="5" t="inlineStr">
        <is>
          <t>Mayo 2026</t>
        </is>
      </c>
      <c r="B6" s="5" t="inlineStr">
        <is>
          <t>Ubicación estratégica</t>
        </is>
      </c>
      <c r="C6" s="5" t="inlineStr">
        <is>
          <t>Proyecto B</t>
        </is>
      </c>
      <c r="D6" s="5" t="inlineStr">
        <is>
          <t>Historia</t>
        </is>
      </c>
      <c r="E6" s="13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9">
        <f>IF(F5=0,0,G5/F5)</f>
        <v/>
      </c>
      <c r="L6" s="14">
        <f>IF(G5=0,0,E5/G5)</f>
        <v/>
      </c>
      <c r="M6" s="14">
        <f>IF(H5=0,0,E5/H5)</f>
        <v/>
      </c>
      <c r="N6" s="14">
        <f>IF(J5=0,0,E5/J5)</f>
        <v/>
      </c>
      <c r="O6" s="9">
        <f>IF(H5=0,0,J5/H5)</f>
        <v/>
      </c>
      <c r="P6" s="6">
        <f>RANK(J5,$J$3:$J$7,0)</f>
        <v/>
      </c>
      <c r="Q6" s="6">
        <f>RANK(M5,$M$3:$M$7,1)</f>
        <v/>
      </c>
    </row>
    <row r="7">
      <c r="A7" s="5" t="inlineStr">
        <is>
          <t>Mayo 2026</t>
        </is>
      </c>
      <c r="B7" s="5" t="inlineStr">
        <is>
          <t>Inversores renta</t>
        </is>
      </c>
      <c r="C7" s="5" t="inlineStr">
        <is>
          <t>Proyecto C</t>
        </is>
      </c>
      <c r="D7" s="5" t="inlineStr">
        <is>
          <t>Imagen</t>
        </is>
      </c>
      <c r="E7" s="13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9">
        <f>IF(F6=0,0,G6/F6)</f>
        <v/>
      </c>
      <c r="L7" s="14">
        <f>IF(G6=0,0,E6/G6)</f>
        <v/>
      </c>
      <c r="M7" s="14">
        <f>IF(H6=0,0,E6/H6)</f>
        <v/>
      </c>
      <c r="N7" s="14">
        <f>IF(J6=0,0,E6/J6)</f>
        <v/>
      </c>
      <c r="O7" s="9">
        <f>IF(H6=0,0,J6/H6)</f>
        <v/>
      </c>
      <c r="P7" s="6">
        <f>RANK(J6,$J$3:$J$7,0)</f>
        <v/>
      </c>
      <c r="Q7" s="6">
        <f>RANK(M6,$M$3:$M$7,1)</f>
        <v/>
      </c>
    </row>
    <row r="8">
      <c r="A8" s="10" t="inlineStr">
        <is>
          <t>TOTAL</t>
        </is>
      </c>
      <c r="B8" s="10" t="inlineStr">
        <is>
          <t>Testimonio / Obra</t>
        </is>
      </c>
      <c r="C8" s="10" t="inlineStr">
        <is>
          <t>Proyecto D</t>
        </is>
      </c>
      <c r="D8" s="10" t="inlineStr">
        <is>
          <t>Reel</t>
        </is>
      </c>
      <c r="E8" s="15">
        <f>SUM(E3:E7)</f>
        <v/>
      </c>
      <c r="F8" s="10">
        <f>SUM(F3:F7)</f>
        <v/>
      </c>
      <c r="G8" s="10">
        <f>SUM(G3:G7)</f>
        <v/>
      </c>
      <c r="H8" s="10">
        <f>SUM(H3:H7)</f>
        <v/>
      </c>
      <c r="I8" s="10">
        <f>SUM(I3:I7)</f>
        <v/>
      </c>
      <c r="J8" s="10">
        <f>SUM(J3:J7)</f>
        <v/>
      </c>
      <c r="K8" s="12">
        <f>IF(F8=0,0,G8/F8)</f>
        <v/>
      </c>
      <c r="L8" s="15">
        <f>IF(G8=0,0,E8/G8)</f>
        <v/>
      </c>
      <c r="M8" s="15">
        <f>IF(H8=0,0,E8/H8)</f>
        <v/>
      </c>
      <c r="N8" s="15">
        <f>IF(J8=0,0,E8/J8)</f>
        <v/>
      </c>
      <c r="O8" s="12">
        <f>IF(H8=0,0,J8/H8)</f>
        <v/>
      </c>
      <c r="P8" s="10">
        <f>RANK(J7,$J$3:$J$7,0)</f>
        <v/>
      </c>
      <c r="Q8" s="10">
        <f>RANK(M7,$M$3:$M$7,1)</f>
        <v/>
      </c>
    </row>
  </sheetData>
  <mergeCells count="1">
    <mergeCell ref="A1:Q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  <col width="18" customWidth="1" min="8" max="8"/>
    <col width="18" customWidth="1" min="9" max="9"/>
    <col width="14" customWidth="1" min="10" max="10"/>
    <col width="14" customWidth="1" min="11" max="11"/>
    <col width="14" customWidth="1" min="12" max="12"/>
  </cols>
  <sheetData>
    <row r="1" ht="34" customHeight="1">
      <c r="A1" s="4" t="inlineStr">
        <is>
          <t>Fuentes de leads y desarrollos</t>
        </is>
      </c>
    </row>
    <row r="2"/>
    <row r="3">
      <c r="A3" s="16" t="inlineStr">
        <is>
          <t>Mes</t>
        </is>
      </c>
      <c r="B3" s="16" t="inlineStr">
        <is>
          <t>Fuente</t>
        </is>
      </c>
      <c r="C3" s="16" t="inlineStr">
        <is>
          <t>Leads</t>
        </is>
      </c>
      <c r="D3" s="16" t="inlineStr">
        <is>
          <t>Respondieron</t>
        </is>
      </c>
      <c r="E3" s="16" t="inlineStr">
        <is>
          <t>Reuniones</t>
        </is>
      </c>
      <c r="F3" s="16" t="inlineStr">
        <is>
          <t>Inversión USD</t>
        </is>
      </c>
      <c r="G3" s="16" t="inlineStr">
        <is>
          <t>CPL</t>
        </is>
      </c>
      <c r="H3" s="16" t="inlineStr">
        <is>
          <t>Costo por Reunión</t>
        </is>
      </c>
      <c r="I3" s="16" t="inlineStr">
        <is>
          <t>Conv. Lead-Reunión</t>
        </is>
      </c>
    </row>
    <row r="4">
      <c r="A4" s="5" t="inlineStr">
        <is>
          <t>Mayo 2026</t>
        </is>
      </c>
      <c r="B4" s="5" t="inlineStr">
        <is>
          <t>Meta Ads</t>
        </is>
      </c>
      <c r="C4" s="5" t="n">
        <v>0</v>
      </c>
      <c r="D4" s="5" t="n">
        <v>0</v>
      </c>
      <c r="E4" s="5" t="n">
        <v>0</v>
      </c>
      <c r="F4" s="5" t="n">
        <v>0</v>
      </c>
      <c r="G4" s="14">
        <f>IF(C4=0,0,F4/C4)</f>
        <v/>
      </c>
      <c r="H4" s="14">
        <f>IF(E4=0,0,F4/E4)</f>
        <v/>
      </c>
      <c r="I4" s="9">
        <f>IF(C4=0,0,E4/C4)</f>
        <v/>
      </c>
    </row>
    <row r="5">
      <c r="A5" s="5" t="inlineStr">
        <is>
          <t>Mayo 2026</t>
        </is>
      </c>
      <c r="B5" s="5" t="inlineStr">
        <is>
          <t>Portales</t>
        </is>
      </c>
      <c r="C5" s="5" t="n">
        <v>0</v>
      </c>
      <c r="D5" s="5" t="n">
        <v>0</v>
      </c>
      <c r="E5" s="5" t="n">
        <v>0</v>
      </c>
      <c r="F5" s="5" t="n">
        <v>0</v>
      </c>
      <c r="G5" s="14">
        <f>IF(C5=0,0,F5/C5)</f>
        <v/>
      </c>
      <c r="H5" s="14">
        <f>IF(E5=0,0,F5/E5)</f>
        <v/>
      </c>
      <c r="I5" s="9">
        <f>IF(C5=0,0,E5/C5)</f>
        <v/>
      </c>
    </row>
    <row r="6">
      <c r="A6" s="5" t="inlineStr">
        <is>
          <t>Mayo 2026</t>
        </is>
      </c>
      <c r="B6" s="5" t="inlineStr">
        <is>
          <t>Base Relacional</t>
        </is>
      </c>
      <c r="C6" s="5" t="n">
        <v>0</v>
      </c>
      <c r="D6" s="5" t="n">
        <v>0</v>
      </c>
      <c r="E6" s="5" t="n">
        <v>0</v>
      </c>
      <c r="F6" s="5" t="n">
        <v>0</v>
      </c>
      <c r="G6" s="14">
        <f>IF(C6=0,0,F6/C6)</f>
        <v/>
      </c>
      <c r="H6" s="14">
        <f>IF(E6=0,0,F6/E6)</f>
        <v/>
      </c>
      <c r="I6" s="9">
        <f>IF(C6=0,0,E6/C6)</f>
        <v/>
      </c>
    </row>
    <row r="7">
      <c r="A7" s="5" t="inlineStr">
        <is>
          <t>Mayo 2026</t>
        </is>
      </c>
      <c r="B7" s="5" t="inlineStr">
        <is>
          <t>Referidos</t>
        </is>
      </c>
      <c r="C7" s="5" t="n">
        <v>0</v>
      </c>
      <c r="D7" s="5" t="n">
        <v>0</v>
      </c>
      <c r="E7" s="5" t="n">
        <v>0</v>
      </c>
      <c r="F7" s="5" t="n">
        <v>0</v>
      </c>
      <c r="G7" s="14">
        <f>IF(C7=0,0,F7/C7)</f>
        <v/>
      </c>
      <c r="H7" s="14">
        <f>IF(E7=0,0,F7/E7)</f>
        <v/>
      </c>
      <c r="I7" s="9">
        <f>IF(C7=0,0,E7/C7)</f>
        <v/>
      </c>
    </row>
    <row r="8">
      <c r="A8" s="5" t="inlineStr">
        <is>
          <t>Mayo 2026</t>
        </is>
      </c>
      <c r="B8" s="5" t="inlineStr">
        <is>
          <t>WhatsApp / Orgánico</t>
        </is>
      </c>
      <c r="C8" s="5" t="n">
        <v>0</v>
      </c>
      <c r="D8" s="5" t="n">
        <v>0</v>
      </c>
      <c r="E8" s="5" t="n">
        <v>0</v>
      </c>
      <c r="F8" s="5" t="n">
        <v>0</v>
      </c>
      <c r="G8" s="14">
        <f>IF(C8=0,0,F8/C8)</f>
        <v/>
      </c>
      <c r="H8" s="14">
        <f>IF(E8=0,0,F8/E8)</f>
        <v/>
      </c>
      <c r="I8" s="9">
        <f>IF(C8=0,0,E8/C8)</f>
        <v/>
      </c>
    </row>
    <row r="9">
      <c r="A9" s="10" t="inlineStr">
        <is>
          <t>TOTAL FUENTES</t>
        </is>
      </c>
      <c r="B9" s="17" t="n"/>
      <c r="C9" s="10">
        <f>SUM(C4:C8)</f>
        <v/>
      </c>
      <c r="D9" s="10">
        <f>SUM(D4:D8)</f>
        <v/>
      </c>
      <c r="E9" s="10">
        <f>SUM(E4:E8)</f>
        <v/>
      </c>
      <c r="F9" s="10">
        <f>SUM(F4:F8)</f>
        <v/>
      </c>
      <c r="G9" s="15">
        <f>IF(C9=0,0,F9/C9)</f>
        <v/>
      </c>
      <c r="H9" s="15">
        <f>IF(E9=0,0,F9/E9)</f>
        <v/>
      </c>
      <c r="I9" s="12">
        <f>IF(C9=0,0,E9/C9)</f>
        <v/>
      </c>
    </row>
    <row r="10">
      <c r="A10" s="18" t="n"/>
      <c r="B10" s="18" t="n"/>
      <c r="C10" s="18" t="n"/>
      <c r="D10" s="18" t="n"/>
      <c r="E10" s="18" t="n"/>
      <c r="F10" s="18" t="n"/>
      <c r="G10" s="19" t="n"/>
      <c r="H10" s="19" t="n"/>
      <c r="I10" s="20" t="n"/>
    </row>
    <row r="11">
      <c r="A11" s="18" t="n"/>
      <c r="B11" s="18" t="n"/>
      <c r="C11" s="18" t="n"/>
      <c r="D11" s="18" t="n"/>
      <c r="E11" s="18" t="n"/>
      <c r="F11" s="18" t="n"/>
      <c r="G11" s="19" t="n"/>
      <c r="H11" s="19" t="n"/>
      <c r="I11" s="20" t="n"/>
    </row>
    <row r="12">
      <c r="A12" s="21" t="inlineStr">
        <is>
          <t>Mes</t>
        </is>
      </c>
      <c r="B12" s="21" t="inlineStr">
        <is>
          <t>Desarrollo</t>
        </is>
      </c>
      <c r="C12" s="21" t="inlineStr">
        <is>
          <t>Leads</t>
        </is>
      </c>
      <c r="D12" s="21" t="inlineStr">
        <is>
          <t>Reuniones</t>
        </is>
      </c>
      <c r="E12" s="21" t="inlineStr">
        <is>
          <t>Visitas</t>
        </is>
      </c>
      <c r="F12" s="21" t="inlineStr">
        <is>
          <t>Reservas/Cierres</t>
        </is>
      </c>
      <c r="G12" s="22" t="inlineStr">
        <is>
          <t>Ranking por Leads</t>
        </is>
      </c>
      <c r="H12" s="22" t="inlineStr">
        <is>
          <t>Ranking por Cierres</t>
        </is>
      </c>
      <c r="I12" s="23" t="inlineStr">
        <is>
          <t>Conv. Lead-Cierre</t>
        </is>
      </c>
    </row>
    <row r="13">
      <c r="A13" s="5" t="inlineStr">
        <is>
          <t>Mayo 2026</t>
        </is>
      </c>
      <c r="B13" s="5" t="inlineStr">
        <is>
          <t>Proyecto A</t>
        </is>
      </c>
      <c r="C13" s="5" t="n">
        <v>0</v>
      </c>
      <c r="D13" s="5" t="n">
        <v>0</v>
      </c>
      <c r="E13" s="5" t="n">
        <v>0</v>
      </c>
      <c r="F13" s="5" t="n">
        <v>0</v>
      </c>
      <c r="G13" s="24">
        <f>RANK(C13,$C$13:$C$17,0)</f>
        <v/>
      </c>
      <c r="H13" s="24">
        <f>RANK(F13,$F$13:$F$17,0)</f>
        <v/>
      </c>
      <c r="I13" s="9">
        <f>IF(C13=0,0,F13/C13)</f>
        <v/>
      </c>
    </row>
    <row r="14">
      <c r="A14" s="5" t="inlineStr">
        <is>
          <t>Mayo 2026</t>
        </is>
      </c>
      <c r="B14" s="5" t="inlineStr">
        <is>
          <t>Proyecto B</t>
        </is>
      </c>
      <c r="C14" s="5" t="n">
        <v>0</v>
      </c>
      <c r="D14" s="5" t="n">
        <v>0</v>
      </c>
      <c r="E14" s="5" t="n">
        <v>0</v>
      </c>
      <c r="F14" s="5" t="n">
        <v>0</v>
      </c>
      <c r="G14" s="24">
        <f>RANK(C14,$C$13:$C$17,0)</f>
        <v/>
      </c>
      <c r="H14" s="24">
        <f>RANK(F14,$F$13:$F$17,0)</f>
        <v/>
      </c>
      <c r="I14" s="9">
        <f>IF(C14=0,0,F14/C14)</f>
        <v/>
      </c>
    </row>
    <row r="15">
      <c r="A15" s="5" t="inlineStr">
        <is>
          <t>Mayo 2026</t>
        </is>
      </c>
      <c r="B15" s="5" t="inlineStr">
        <is>
          <t>Proyecto C</t>
        </is>
      </c>
      <c r="C15" s="5" t="n">
        <v>0</v>
      </c>
      <c r="D15" s="5" t="n">
        <v>0</v>
      </c>
      <c r="E15" s="5" t="n">
        <v>0</v>
      </c>
      <c r="F15" s="5" t="n">
        <v>0</v>
      </c>
      <c r="G15" s="24">
        <f>RANK(C15,$C$13:$C$17,0)</f>
        <v/>
      </c>
      <c r="H15" s="24">
        <f>RANK(F15,$F$13:$F$17,0)</f>
        <v/>
      </c>
      <c r="I15" s="9">
        <f>IF(C15=0,0,F15/C15)</f>
        <v/>
      </c>
    </row>
    <row r="16">
      <c r="A16" s="5" t="inlineStr">
        <is>
          <t>Mayo 2026</t>
        </is>
      </c>
      <c r="B16" s="5" t="inlineStr">
        <is>
          <t>Proyecto D</t>
        </is>
      </c>
      <c r="C16" s="5" t="n">
        <v>0</v>
      </c>
      <c r="D16" s="5" t="n">
        <v>0</v>
      </c>
      <c r="E16" s="5" t="n">
        <v>0</v>
      </c>
      <c r="F16" s="5" t="n">
        <v>0</v>
      </c>
      <c r="G16" s="24">
        <f>RANK(C16,$C$13:$C$17,0)</f>
        <v/>
      </c>
      <c r="H16" s="24">
        <f>RANK(F16,$F$13:$F$17,0)</f>
        <v/>
      </c>
      <c r="I16" s="9">
        <f>IF(C16=0,0,F16/C16)</f>
        <v/>
      </c>
    </row>
    <row r="17">
      <c r="A17" s="5" t="inlineStr">
        <is>
          <t>Mayo 2026</t>
        </is>
      </c>
      <c r="B17" s="5" t="inlineStr">
        <is>
          <t>Proyecto E</t>
        </is>
      </c>
      <c r="C17" s="5" t="n">
        <v>0</v>
      </c>
      <c r="D17" s="5" t="n">
        <v>0</v>
      </c>
      <c r="E17" s="5" t="n">
        <v>0</v>
      </c>
      <c r="F17" s="5" t="n">
        <v>0</v>
      </c>
      <c r="G17" s="24">
        <f>RANK(C17,$C$13:$C$17,0)</f>
        <v/>
      </c>
      <c r="H17" s="24">
        <f>RANK(F17,$F$13:$F$17,0)</f>
        <v/>
      </c>
      <c r="I17" s="9">
        <f>IF(C17=0,0,F17/C17)</f>
        <v/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8" customWidth="1" min="4" max="4"/>
    <col width="18" customWidth="1" min="5" max="5"/>
    <col width="14" customWidth="1" min="6" max="6"/>
    <col width="4" customWidth="1" min="7" max="7"/>
    <col width="28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34" customHeight="1">
      <c r="A1" s="25" t="inlineStr">
        <is>
          <t>Dashboard CEO - Proyectos Inmobiliarios</t>
        </is>
      </c>
      <c r="B1" s="26" t="n"/>
      <c r="C1" s="26" t="n"/>
      <c r="D1" s="26" t="n"/>
      <c r="E1" s="26" t="n"/>
      <c r="F1" s="26" t="n"/>
      <c r="G1" s="26" t="n"/>
      <c r="H1" s="26" t="n"/>
      <c r="I1" s="26" t="n"/>
      <c r="J1" s="26" t="n"/>
      <c r="K1" s="26" t="n"/>
      <c r="L1" s="26" t="n"/>
    </row>
    <row r="2">
      <c r="A2" s="26" t="n"/>
      <c r="B2" s="26" t="n"/>
      <c r="C2" s="26" t="n"/>
      <c r="D2" s="26" t="n"/>
      <c r="E2" s="26" t="n"/>
      <c r="F2" s="26" t="n"/>
      <c r="G2" s="26" t="n"/>
      <c r="H2" s="26" t="n"/>
      <c r="I2" s="26" t="n"/>
      <c r="J2" s="26" t="n"/>
      <c r="K2" s="26" t="n"/>
      <c r="L2" s="26" t="n"/>
    </row>
    <row r="3">
      <c r="A3" s="21" t="inlineStr">
        <is>
          <t>Leads Totales</t>
        </is>
      </c>
      <c r="B3" s="26" t="n"/>
      <c r="C3" s="26" t="n"/>
      <c r="D3" s="21" t="inlineStr">
        <is>
          <t>Respondieron</t>
        </is>
      </c>
      <c r="E3" s="26" t="n"/>
      <c r="F3" s="26" t="n"/>
      <c r="G3" s="21" t="inlineStr">
        <is>
          <t>Reuniones</t>
        </is>
      </c>
      <c r="H3" s="26" t="n"/>
      <c r="I3" s="26" t="n"/>
      <c r="J3" s="21" t="inlineStr">
        <is>
          <t>Objetivo Reuniones</t>
        </is>
      </c>
      <c r="K3" s="26" t="n"/>
      <c r="L3" s="26" t="n"/>
    </row>
    <row r="4">
      <c r="A4" s="27">
        <f>'Carga Asesores'!C7</f>
        <v/>
      </c>
      <c r="B4" s="26" t="n"/>
      <c r="C4" s="26" t="n"/>
      <c r="D4" s="27">
        <f>'Carga Asesores'!D7</f>
        <v/>
      </c>
      <c r="E4" s="26" t="n"/>
      <c r="F4" s="26" t="n"/>
      <c r="G4" s="27">
        <f>'Carga Asesores'!E7</f>
        <v/>
      </c>
      <c r="H4" s="26" t="n"/>
      <c r="I4" s="26" t="n"/>
      <c r="J4" s="27">
        <f>'Carga Asesores'!F7</f>
        <v/>
      </c>
      <c r="K4" s="26" t="n"/>
      <c r="L4" s="26" t="n"/>
    </row>
    <row r="5">
      <c r="A5" s="26" t="n"/>
      <c r="B5" s="26" t="n"/>
      <c r="C5" s="26" t="n"/>
      <c r="D5" s="26" t="n"/>
      <c r="E5" s="26" t="n"/>
      <c r="F5" s="26" t="n"/>
      <c r="G5" s="26" t="n"/>
      <c r="H5" s="26" t="n"/>
      <c r="I5" s="26" t="n"/>
      <c r="J5" s="26" t="n"/>
      <c r="K5" s="26" t="n"/>
      <c r="L5" s="26" t="n"/>
    </row>
    <row r="6">
      <c r="A6" s="21" t="inlineStr">
        <is>
          <t>Diferencia Reuniones</t>
        </is>
      </c>
      <c r="B6" s="26" t="n"/>
      <c r="C6" s="26" t="n"/>
      <c r="D6" s="21" t="inlineStr">
        <is>
          <t>Visitas</t>
        </is>
      </c>
      <c r="E6" s="26" t="n"/>
      <c r="F6" s="26" t="n"/>
      <c r="G6" s="21" t="inlineStr">
        <is>
          <t>Cierres</t>
        </is>
      </c>
      <c r="H6" s="26" t="n"/>
      <c r="I6" s="26" t="n"/>
      <c r="J6" s="21" t="inlineStr">
        <is>
          <t>Facturación USD</t>
        </is>
      </c>
      <c r="K6" s="26" t="n"/>
      <c r="L6" s="26" t="n"/>
    </row>
    <row r="7">
      <c r="A7" s="27">
        <f>'Carga Asesores'!G7</f>
        <v/>
      </c>
      <c r="B7" s="26" t="n"/>
      <c r="C7" s="26" t="n"/>
      <c r="D7" s="27">
        <f>'Carga Asesores'!H7</f>
        <v/>
      </c>
      <c r="E7" s="26" t="n"/>
      <c r="F7" s="26" t="n"/>
      <c r="G7" s="27">
        <f>'Carga Asesores'!J7</f>
        <v/>
      </c>
      <c r="H7" s="26" t="n"/>
      <c r="I7" s="26" t="n"/>
      <c r="J7" s="28">
        <f>'Carga Asesores'!M7</f>
        <v/>
      </c>
      <c r="K7" s="26" t="n"/>
      <c r="L7" s="26" t="n"/>
    </row>
    <row r="8">
      <c r="A8" s="26" t="n"/>
      <c r="B8" s="26" t="n"/>
      <c r="C8" s="26" t="n"/>
      <c r="D8" s="26" t="n"/>
      <c r="E8" s="26" t="n"/>
      <c r="F8" s="26" t="n"/>
      <c r="G8" s="26" t="n"/>
      <c r="H8" s="26" t="n"/>
      <c r="I8" s="26" t="n"/>
      <c r="J8" s="26" t="n"/>
      <c r="K8" s="26" t="n"/>
      <c r="L8" s="26" t="n"/>
    </row>
    <row r="9">
      <c r="A9" s="21" t="inlineStr">
        <is>
          <t>Objetivo USD</t>
        </is>
      </c>
      <c r="B9" s="26" t="n"/>
      <c r="C9" s="26" t="n"/>
      <c r="D9" s="21" t="inlineStr">
        <is>
          <t>Diferencia USD</t>
        </is>
      </c>
      <c r="E9" s="26" t="n"/>
      <c r="F9" s="26" t="n"/>
      <c r="G9" s="21" t="inlineStr">
        <is>
          <t>% Objetivo USD</t>
        </is>
      </c>
      <c r="H9" s="26" t="n"/>
      <c r="I9" s="26" t="n"/>
      <c r="J9" s="21" t="inlineStr">
        <is>
          <t>Conv. Lead-Cierre</t>
        </is>
      </c>
      <c r="K9" s="26" t="n"/>
      <c r="L9" s="26" t="n"/>
    </row>
    <row r="10">
      <c r="A10" s="28">
        <f>'Carga Asesores'!N7</f>
        <v/>
      </c>
      <c r="B10" s="26" t="n"/>
      <c r="C10" s="26" t="n"/>
      <c r="D10" s="28">
        <f>'Carga Asesores'!O7</f>
        <v/>
      </c>
      <c r="E10" s="26" t="n"/>
      <c r="F10" s="26" t="n"/>
      <c r="G10" s="28">
        <f>'Carga Asesores'!P7</f>
        <v/>
      </c>
      <c r="H10" s="26" t="n"/>
      <c r="I10" s="26" t="n"/>
      <c r="J10" s="29">
        <f>'Carga Asesores'!T7</f>
        <v/>
      </c>
      <c r="K10" s="26" t="n"/>
      <c r="L10" s="26" t="n"/>
    </row>
    <row r="11">
      <c r="A11" s="26" t="n"/>
      <c r="B11" s="26" t="n"/>
      <c r="C11" s="26" t="n"/>
      <c r="D11" s="26" t="n"/>
      <c r="E11" s="26" t="n"/>
      <c r="F11" s="26" t="n"/>
      <c r="G11" s="26" t="n"/>
      <c r="H11" s="26" t="n"/>
      <c r="I11" s="26" t="n"/>
      <c r="J11" s="26" t="n"/>
      <c r="K11" s="26" t="n"/>
      <c r="L11" s="26" t="n"/>
    </row>
    <row r="12">
      <c r="A12" s="26" t="n"/>
      <c r="B12" s="26" t="n"/>
      <c r="C12" s="26" t="n"/>
      <c r="D12" s="26" t="n"/>
      <c r="E12" s="26" t="n"/>
      <c r="F12" s="26" t="n"/>
      <c r="G12" s="26" t="n"/>
      <c r="H12" s="26" t="n"/>
      <c r="I12" s="26" t="n"/>
      <c r="J12" s="26" t="n"/>
      <c r="K12" s="26" t="n"/>
      <c r="L12" s="26" t="n"/>
    </row>
    <row r="13">
      <c r="A13" s="21" t="inlineStr">
        <is>
          <t>Ranking de asesores</t>
        </is>
      </c>
      <c r="B13" s="26" t="n"/>
      <c r="C13" s="26" t="n"/>
      <c r="D13" s="26" t="n"/>
      <c r="E13" s="26" t="n"/>
      <c r="F13" s="26" t="n"/>
      <c r="G13" s="26" t="n"/>
      <c r="H13" s="21" t="inlineStr">
        <is>
          <t>Ranking de pautas publicitarias</t>
        </is>
      </c>
      <c r="I13" s="26" t="n"/>
      <c r="J13" s="26" t="n"/>
      <c r="K13" s="26" t="n"/>
      <c r="L13" s="26" t="n"/>
    </row>
    <row r="14">
      <c r="A14" s="21" t="inlineStr">
        <is>
          <t>Asesor</t>
        </is>
      </c>
      <c r="B14" s="21" t="inlineStr">
        <is>
          <t>Reuniones</t>
        </is>
      </c>
      <c r="C14" s="21" t="inlineStr">
        <is>
          <t>Obj. Reun.</t>
        </is>
      </c>
      <c r="D14" s="21" t="inlineStr">
        <is>
          <t>Dif. Reun.</t>
        </is>
      </c>
      <c r="E14" s="21" t="inlineStr">
        <is>
          <t>Facturación USD</t>
        </is>
      </c>
      <c r="F14" s="21" t="inlineStr">
        <is>
          <t>% Objetivo</t>
        </is>
      </c>
      <c r="G14" s="26" t="n"/>
      <c r="H14" s="21" t="inlineStr">
        <is>
          <t>Campaña</t>
        </is>
      </c>
      <c r="I14" s="21" t="inlineStr">
        <is>
          <t>Formato</t>
        </is>
      </c>
      <c r="J14" s="21" t="inlineStr">
        <is>
          <t>Leads</t>
        </is>
      </c>
      <c r="K14" s="21" t="inlineStr">
        <is>
          <t>Reuniones</t>
        </is>
      </c>
      <c r="L14" s="21" t="inlineStr">
        <is>
          <t>Ranking</t>
        </is>
      </c>
    </row>
    <row r="15">
      <c r="A15" s="30">
        <f>'Carga Asesores'!B3</f>
        <v/>
      </c>
      <c r="B15" s="30">
        <f>'Carga Asesores'!E3</f>
        <v/>
      </c>
      <c r="C15" s="30">
        <f>'Carga Asesores'!F3</f>
        <v/>
      </c>
      <c r="D15" s="30">
        <f>'Carga Asesores'!G3</f>
        <v/>
      </c>
      <c r="E15" s="31">
        <f>'Carga Asesores'!M3</f>
        <v/>
      </c>
      <c r="F15" s="32">
        <f>'Carga Asesores'!P3</f>
        <v/>
      </c>
      <c r="G15" s="26" t="n"/>
      <c r="H15" s="30">
        <f>'Pautas Publicitarias'!B3</f>
        <v/>
      </c>
      <c r="I15" s="30">
        <f>'Pautas Publicitarias'!D3</f>
        <v/>
      </c>
      <c r="J15" s="30">
        <f>'Pautas Publicitarias'!H3</f>
        <v/>
      </c>
      <c r="K15" s="30">
        <f>'Pautas Publicitarias'!J3</f>
        <v/>
      </c>
      <c r="L15" s="30">
        <f>'Pautas Publicitarias'!P3</f>
        <v/>
      </c>
    </row>
    <row r="16">
      <c r="A16" s="30">
        <f>'Carga Asesores'!B4</f>
        <v/>
      </c>
      <c r="B16" s="30">
        <f>'Carga Asesores'!E4</f>
        <v/>
      </c>
      <c r="C16" s="30">
        <f>'Carga Asesores'!F4</f>
        <v/>
      </c>
      <c r="D16" s="30">
        <f>'Carga Asesores'!G4</f>
        <v/>
      </c>
      <c r="E16" s="31">
        <f>'Carga Asesores'!M4</f>
        <v/>
      </c>
      <c r="F16" s="32">
        <f>'Carga Asesores'!P4</f>
        <v/>
      </c>
      <c r="G16" s="26" t="n"/>
      <c r="H16" s="30">
        <f>'Pautas Publicitarias'!B4</f>
        <v/>
      </c>
      <c r="I16" s="30">
        <f>'Pautas Publicitarias'!D4</f>
        <v/>
      </c>
      <c r="J16" s="30">
        <f>'Pautas Publicitarias'!H4</f>
        <v/>
      </c>
      <c r="K16" s="30">
        <f>'Pautas Publicitarias'!J4</f>
        <v/>
      </c>
      <c r="L16" s="30">
        <f>'Pautas Publicitarias'!P4</f>
        <v/>
      </c>
    </row>
    <row r="17">
      <c r="A17" s="30">
        <f>'Carga Asesores'!B5</f>
        <v/>
      </c>
      <c r="B17" s="30">
        <f>'Carga Asesores'!E5</f>
        <v/>
      </c>
      <c r="C17" s="30">
        <f>'Carga Asesores'!F5</f>
        <v/>
      </c>
      <c r="D17" s="30">
        <f>'Carga Asesores'!G5</f>
        <v/>
      </c>
      <c r="E17" s="31">
        <f>'Carga Asesores'!M5</f>
        <v/>
      </c>
      <c r="F17" s="32">
        <f>'Carga Asesores'!P5</f>
        <v/>
      </c>
      <c r="G17" s="26" t="n"/>
      <c r="H17" s="30">
        <f>'Pautas Publicitarias'!B5</f>
        <v/>
      </c>
      <c r="I17" s="30">
        <f>'Pautas Publicitarias'!D5</f>
        <v/>
      </c>
      <c r="J17" s="30">
        <f>'Pautas Publicitarias'!H5</f>
        <v/>
      </c>
      <c r="K17" s="30">
        <f>'Pautas Publicitarias'!J5</f>
        <v/>
      </c>
      <c r="L17" s="30">
        <f>'Pautas Publicitarias'!P5</f>
        <v/>
      </c>
    </row>
    <row r="18">
      <c r="A18" s="30">
        <f>'Carga Asesores'!B6</f>
        <v/>
      </c>
      <c r="B18" s="30">
        <f>'Carga Asesores'!E6</f>
        <v/>
      </c>
      <c r="C18" s="30">
        <f>'Carga Asesores'!F6</f>
        <v/>
      </c>
      <c r="D18" s="30">
        <f>'Carga Asesores'!G6</f>
        <v/>
      </c>
      <c r="E18" s="31">
        <f>'Carga Asesores'!M6</f>
        <v/>
      </c>
      <c r="F18" s="32">
        <f>'Carga Asesores'!P6</f>
        <v/>
      </c>
      <c r="G18" s="26" t="n"/>
      <c r="H18" s="30">
        <f>'Pautas Publicitarias'!B6</f>
        <v/>
      </c>
      <c r="I18" s="30">
        <f>'Pautas Publicitarias'!D6</f>
        <v/>
      </c>
      <c r="J18" s="30">
        <f>'Pautas Publicitarias'!H6</f>
        <v/>
      </c>
      <c r="K18" s="30">
        <f>'Pautas Publicitarias'!J6</f>
        <v/>
      </c>
      <c r="L18" s="30">
        <f>'Pautas Publicitarias'!P6</f>
        <v/>
      </c>
    </row>
    <row r="19">
      <c r="A19" s="26" t="n"/>
      <c r="B19" s="26" t="n"/>
      <c r="C19" s="26" t="n"/>
      <c r="D19" s="26" t="n"/>
      <c r="E19" s="26" t="n"/>
      <c r="F19" s="26" t="n"/>
      <c r="G19" s="26" t="n"/>
      <c r="H19" s="30">
        <f>'Pautas Publicitarias'!B7</f>
        <v/>
      </c>
      <c r="I19" s="30">
        <f>'Pautas Publicitarias'!D7</f>
        <v/>
      </c>
      <c r="J19" s="30">
        <f>'Pautas Publicitarias'!H7</f>
        <v/>
      </c>
      <c r="K19" s="30">
        <f>'Pautas Publicitarias'!J7</f>
        <v/>
      </c>
      <c r="L19" s="30">
        <f>'Pautas Publicitarias'!P7</f>
        <v/>
      </c>
    </row>
  </sheetData>
  <mergeCells count="27">
    <mergeCell ref="D10:E10"/>
    <mergeCell ref="J10:K10"/>
    <mergeCell ref="A6:B6"/>
    <mergeCell ref="J9:K9"/>
    <mergeCell ref="D6:E6"/>
    <mergeCell ref="A7:B7"/>
    <mergeCell ref="G7:H7"/>
    <mergeCell ref="J6:K6"/>
    <mergeCell ref="G10:H10"/>
    <mergeCell ref="G6:H6"/>
    <mergeCell ref="A3:B3"/>
    <mergeCell ref="G3:H3"/>
    <mergeCell ref="J4:K4"/>
    <mergeCell ref="D7:E7"/>
    <mergeCell ref="A13:F13"/>
    <mergeCell ref="J7:K7"/>
    <mergeCell ref="D4:E4"/>
    <mergeCell ref="H13:L13"/>
    <mergeCell ref="D3:E3"/>
    <mergeCell ref="D9:E9"/>
    <mergeCell ref="A4:B4"/>
    <mergeCell ref="G4:H4"/>
    <mergeCell ref="J3:K3"/>
    <mergeCell ref="A1:L1"/>
    <mergeCell ref="A10:B10"/>
    <mergeCell ref="A9:B9"/>
    <mergeCell ref="G9:H9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2026-05-18T17:14:17Z</dcterms:created>
  <dcterms:modified xmlns:dcterms="http://purl.org/dc/terms/" xmlns:xsi="http://www.w3.org/2001/XMLSchema-instance" xsi:type="dcterms:W3CDTF">2026-05-19T16:26:48Z</dcterms:modified>
</cp:coreProperties>
</file>